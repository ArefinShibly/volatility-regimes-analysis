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"/>
    </mc:Choice>
  </mc:AlternateContent>
  <xr:revisionPtr revIDLastSave="0" documentId="13_ncr:1_{E8B74532-1A1C-42B1-AE0E-F045E8E60C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umbers of Hypothesis" sheetId="2" r:id="rId1"/>
    <sheet name="Hypothesis in Detail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D15" i="1"/>
  <c r="D67" i="1" l="1"/>
  <c r="D66" i="1"/>
  <c r="D65" i="1"/>
  <c r="D64" i="1"/>
  <c r="D63" i="1"/>
  <c r="D62" i="1"/>
  <c r="D61" i="1"/>
  <c r="D60" i="1"/>
  <c r="D59" i="1"/>
  <c r="D55" i="1"/>
  <c r="D57" i="1"/>
  <c r="D56" i="1"/>
  <c r="D54" i="1"/>
  <c r="D52" i="1"/>
  <c r="D48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9" i="1"/>
  <c r="D50" i="1"/>
  <c r="D51" i="1"/>
  <c r="D53" i="1"/>
  <c r="D58" i="1"/>
  <c r="D32" i="1"/>
  <c r="D25" i="1"/>
  <c r="D30" i="1"/>
  <c r="D22" i="1"/>
  <c r="D24" i="1"/>
  <c r="D21" i="1"/>
  <c r="D20" i="1"/>
  <c r="D19" i="1"/>
  <c r="D18" i="1"/>
  <c r="D17" i="1"/>
  <c r="D16" i="1"/>
  <c r="D14" i="1"/>
  <c r="D13" i="1"/>
  <c r="D12" i="1"/>
  <c r="D11" i="1"/>
  <c r="D10" i="1"/>
  <c r="D9" i="1"/>
  <c r="D8" i="1"/>
  <c r="D7" i="1"/>
  <c r="D6" i="1"/>
  <c r="D5" i="1" l="1"/>
  <c r="D4" i="1"/>
  <c r="D3" i="1"/>
</calcChain>
</file>

<file path=xl/sharedStrings.xml><?xml version="1.0" encoding="utf-8"?>
<sst xmlns="http://schemas.openxmlformats.org/spreadsheetml/2006/main" count="89" uniqueCount="77">
  <si>
    <t>Asset Pairs</t>
  </si>
  <si>
    <t>Hypothesis Test P-Value</t>
  </si>
  <si>
    <t>Hypothesis Conclusion</t>
  </si>
  <si>
    <t>Pair Serial</t>
  </si>
  <si>
    <t>Reject H0</t>
  </si>
  <si>
    <t>EURUSD vs CNYUSD</t>
  </si>
  <si>
    <t>EURUSD vs GBPUSD</t>
  </si>
  <si>
    <t>EURUSD vs RUBUSD</t>
  </si>
  <si>
    <t>EURUSD vs AEDUSD</t>
  </si>
  <si>
    <t>EURUSD vs GOLD</t>
  </si>
  <si>
    <t>EURUSD vs Silver</t>
  </si>
  <si>
    <t>EURUSD vs Wheat</t>
  </si>
  <si>
    <t>EURUSD vs Wood</t>
  </si>
  <si>
    <t>EURUSD vs Cotton</t>
  </si>
  <si>
    <t>EURUSD vs Graphite</t>
  </si>
  <si>
    <t>EURUSD vs Lithium</t>
  </si>
  <si>
    <t>GBPUSD vs RUBUSD</t>
  </si>
  <si>
    <t>GBPUSD vs CNYUSD</t>
  </si>
  <si>
    <t>GBPUSD vs AEDUSD</t>
  </si>
  <si>
    <t>GBPUSD vs Gold</t>
  </si>
  <si>
    <t>GBPUSD vs Silver</t>
  </si>
  <si>
    <t>GBPUSD vs Wheat</t>
  </si>
  <si>
    <t>GBPUSD vs Wood</t>
  </si>
  <si>
    <t>GBPUSD vs Cotton</t>
  </si>
  <si>
    <t>GBPUSD vs Graphite</t>
  </si>
  <si>
    <t>RUBUSD vs CNYUSD</t>
  </si>
  <si>
    <t>N/A</t>
  </si>
  <si>
    <t>RUBUSD VS AEDUSD</t>
  </si>
  <si>
    <t>RUBUSD vs Silver</t>
  </si>
  <si>
    <t>RUBUSD vs Gold</t>
  </si>
  <si>
    <t>Insufficient Data</t>
  </si>
  <si>
    <t>GBPUSD vs Lithium</t>
  </si>
  <si>
    <t>RUBUSD vs Wheat</t>
  </si>
  <si>
    <t>RUBUSD vs Wood</t>
  </si>
  <si>
    <t>RUBUSD vs Cotton</t>
  </si>
  <si>
    <t>RUBUSD vs Graphite</t>
  </si>
  <si>
    <t>RUBUSD vs Lithium</t>
  </si>
  <si>
    <t>CNYUSD vs AEDUSD</t>
  </si>
  <si>
    <t>CNYUSD vs Gold</t>
  </si>
  <si>
    <t>CNYUSD vs Silver</t>
  </si>
  <si>
    <t>CNYUSD vs Wheat</t>
  </si>
  <si>
    <t>CNYUSD vs Wood</t>
  </si>
  <si>
    <t>CNYUSD vs Cotton</t>
  </si>
  <si>
    <t>CNYUSD vs Graphite</t>
  </si>
  <si>
    <t>CNYUSD vs Lithium</t>
  </si>
  <si>
    <t>AEDUSD vs Gold</t>
  </si>
  <si>
    <t>AEDUSD vs Silver</t>
  </si>
  <si>
    <t>AEDUSD vs Wheat</t>
  </si>
  <si>
    <t>AEDUSD vs Wood</t>
  </si>
  <si>
    <t>AEDUSD vs Cotton</t>
  </si>
  <si>
    <t>AEDUSD vs Graphite</t>
  </si>
  <si>
    <t>AEDUSD vs Lithium</t>
  </si>
  <si>
    <t>Gold vs Silver</t>
  </si>
  <si>
    <t>Gold vs Wheat</t>
  </si>
  <si>
    <t>Gold vs Wood</t>
  </si>
  <si>
    <t>Gold vs Cotton</t>
  </si>
  <si>
    <t>Gold vs Graphite</t>
  </si>
  <si>
    <t>Gold vs Lithium</t>
  </si>
  <si>
    <t>Silver vs Wheat</t>
  </si>
  <si>
    <t>Silver vs Wood</t>
  </si>
  <si>
    <t>Silver vs Graphite</t>
  </si>
  <si>
    <t>Silver vs Lithium</t>
  </si>
  <si>
    <t>Silver vs Cotton</t>
  </si>
  <si>
    <t>Wheat vs Wood</t>
  </si>
  <si>
    <t>Wheat vs Cotton</t>
  </si>
  <si>
    <t>Wheat vs Graphite</t>
  </si>
  <si>
    <t>Wheat vs Lithium</t>
  </si>
  <si>
    <t>Wood vs Cotton</t>
  </si>
  <si>
    <t>Wood vs Graphite</t>
  </si>
  <si>
    <t>Wood vs Lithim</t>
  </si>
  <si>
    <t>Cotton vs Graphite</t>
  </si>
  <si>
    <t>Cotton vs Lithium</t>
  </si>
  <si>
    <t>Graphite vs Lithium</t>
  </si>
  <si>
    <t>Hypothesis type</t>
  </si>
  <si>
    <t>Number</t>
  </si>
  <si>
    <t>Fail to Reject H0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</si>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</sst>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'Numbers of Hypothesis'!$B$1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'Numbers of Hypothesis'!$A$2:$A$5</c:f>
              <c:strCache>
                <c:ptCount val="4"/>
                <c:pt idx="0">
                  <c:v>Reject H0</c:v>
                </c:pt>
                <c:pt idx="1">
                  <c:v>Fail to Reject H0</c:v>
                </c:pt>
                <c:pt idx="2">
                  <c:v>Insufficient Data</c:v>
                </c:pt>
                <c:pt idx="3">
                  <c:v>Total</c:v>
                </c:pt>
              </c:strCache>
            </c:strRef>
          </c:cat>
          <c:val>
            <c:numRef>
              <c:f>'Numbers of Hypothesis'!$B$2:$B$5</c:f>
              <c:numCache>
                <c:formatCode>General</c:formatCode>
                <c:ptCount val="4"/>
                <c:pt idx="0">
                  <c:v>44</c:v>
                </c:pt>
                <c:pt idx="1">
                  <c:v>16</c:v>
                </c:pt>
                <c:pt idx="2">
                  <c:v>6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5-4A91-BE67-BE45B789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596607"/>
        <c:axId val="1140597087"/>
      </c:barChart>
      <c:catAx>
        <c:axId val="114059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97087"/>
        <c:crosses val="autoZero"/>
        <c:auto val="1"/>
        <c:lblAlgn val="ctr"/>
        <c:lblOffset val="100"/>
        <c:noMultiLvlLbl val="0"/>
      </c:catAx>
      <c:valAx>
        <c:axId val="114059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966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'Numbers of Hypothesis'!$B$1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'Numbers of Hypothesis'!$A$2:$A$4</c:f>
              <c:strCache>
                <c:ptCount val="3"/>
                <c:pt idx="0">
                  <c:v>Reject H0</c:v>
                </c:pt>
                <c:pt idx="1">
                  <c:v>Fail to Reject H0</c:v>
                </c:pt>
                <c:pt idx="2">
                  <c:v>Insufficient Data</c:v>
                </c:pt>
              </c:strCache>
            </c:strRef>
          </c:cat>
          <c:val>
            <c:numRef>
              <c:f>'Numbers of Hypothesis'!$B$2:$B$4</c:f>
              <c:numCache>
                <c:formatCode>General</c:formatCode>
                <c:ptCount val="3"/>
                <c:pt idx="0">
                  <c:v>44</c:v>
                </c:pt>
                <c:pt idx="1">
                  <c:v>16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9-42C3-B272-AF6FC472E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603327"/>
        <c:axId val="1140594687"/>
      </c:barChart>
      <c:catAx>
        <c:axId val="114060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94687"/>
        <c:crosses val="autoZero"/>
        <c:auto val="1"/>
        <c:lblAlgn val="ctr"/>
        <c:lblOffset val="100"/>
        <c:noMultiLvlLbl val="0"/>
      </c:catAx>
      <c:valAx>
        <c:axId val="11405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140095"/>
        <c:axId val="1143145375"/>
      </c:barChart>
      <c:catAx>
        <c:axId val="114314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5375"/>
        <c:crosses val="autoZero"/>
        <c:auto val="1"/>
        <c:lblAlgn val="ctr"/>
        <c:lblOffset val="100"/>
        <c:noMultiLvlLbl val="0"/>
      </c:catAx>
      <c:valAx>
        <c:axId val="11431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</xdr:row>
      <xdr:rowOff>128587</xdr:rowOff>
    </xdr:from>
    <xdr:to>
      <xdr:col>12</xdr:col>
      <xdr:colOff>352425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61603-17E7-ED35-F166-2DD64BEF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3</xdr:row>
      <xdr:rowOff>128587</xdr:rowOff>
    </xdr:from>
    <xdr:to>
      <xdr:col>12</xdr:col>
      <xdr:colOff>352425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4FC8D2-6AFC-A747-DB0D-08B863947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128587</xdr:rowOff>
    </xdr:from>
    <xdr:to>
      <xdr:col>14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48B0E-E4E7-0F2C-2B2F-CF7040689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894E-8810-41F9-96FA-27FFF582DFD9}">
  <dimension ref="A1:B5"/>
  <sheetViews>
    <sheetView tabSelected="1" workbookViewId="0">
      <selection activeCell="K2" sqref="K2"/>
    </sheetView>
  </sheetViews>
  <sheetFormatPr defaultRowHeight="15" x14ac:dyDescent="0.25"/>
  <cols>
    <col min="1" max="1" width="20.7109375" customWidth="1"/>
    <col min="2" max="2" width="11" customWidth="1"/>
  </cols>
  <sheetData>
    <row r="1" spans="1:2" x14ac:dyDescent="0.25">
      <c r="A1" s="3" t="s">
        <v>73</v>
      </c>
      <c r="B1" s="3" t="s">
        <v>74</v>
      </c>
    </row>
    <row r="2" spans="1:2" x14ac:dyDescent="0.25">
      <c r="A2" t="s">
        <v>4</v>
      </c>
      <c r="B2">
        <f>COUNTIF('Hypothesis in Detail'!D:D, "Reject H0")</f>
        <v>44</v>
      </c>
    </row>
    <row r="3" spans="1:2" x14ac:dyDescent="0.25">
      <c r="A3" t="s">
        <v>75</v>
      </c>
      <c r="B3">
        <f>COUNTIF('Hypothesis in Detail'!D:D, "Fail to Reject H0")</f>
        <v>16</v>
      </c>
    </row>
    <row r="4" spans="1:2" x14ac:dyDescent="0.25">
      <c r="A4" t="s">
        <v>30</v>
      </c>
      <c r="B4">
        <f>COUNTIF('Hypothesis in Detail'!D:D, "Insufficient Data")</f>
        <v>6</v>
      </c>
    </row>
    <row r="5" spans="1:2" x14ac:dyDescent="0.25">
      <c r="A5" s="3" t="s">
        <v>76</v>
      </c>
      <c r="B5" s="3">
        <f>SUM(B2:B4)</f>
        <v>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opLeftCell="A13" workbookViewId="0">
      <selection activeCell="D26" sqref="D26"/>
    </sheetView>
  </sheetViews>
  <sheetFormatPr defaultRowHeight="15" x14ac:dyDescent="0.25"/>
  <cols>
    <col min="1" max="1" width="15.7109375" customWidth="1"/>
    <col min="2" max="2" width="25.7109375" customWidth="1"/>
    <col min="3" max="5" width="15.7109375" customWidth="1"/>
  </cols>
  <sheetData>
    <row r="1" spans="1:4" s="1" customFormat="1" ht="30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>
        <v>1</v>
      </c>
      <c r="B2" t="s">
        <v>6</v>
      </c>
      <c r="C2">
        <v>1.4380224299954026E-2</v>
      </c>
      <c r="D2" t="s">
        <v>4</v>
      </c>
    </row>
    <row r="3" spans="1:4" x14ac:dyDescent="0.25">
      <c r="A3">
        <v>2</v>
      </c>
      <c r="B3" t="s">
        <v>7</v>
      </c>
      <c r="C3">
        <v>7.0198295461866312E-102</v>
      </c>
      <c r="D3" t="str">
        <f t="shared" ref="D3:D22" si="0">IF(C3&lt;0.05, "Reject H0", "Fail to Reject H0")</f>
        <v>Reject H0</v>
      </c>
    </row>
    <row r="4" spans="1:4" x14ac:dyDescent="0.25">
      <c r="A4">
        <v>3</v>
      </c>
      <c r="B4" t="s">
        <v>5</v>
      </c>
      <c r="C4">
        <v>0.15889416895407713</v>
      </c>
      <c r="D4" t="str">
        <f t="shared" si="0"/>
        <v>Fail to Reject H0</v>
      </c>
    </row>
    <row r="5" spans="1:4" x14ac:dyDescent="0.25">
      <c r="A5">
        <v>4</v>
      </c>
      <c r="B5" t="s">
        <v>8</v>
      </c>
      <c r="C5">
        <v>1.4589699047284866E-2</v>
      </c>
      <c r="D5" t="str">
        <f t="shared" si="0"/>
        <v>Reject H0</v>
      </c>
    </row>
    <row r="6" spans="1:4" x14ac:dyDescent="0.25">
      <c r="A6">
        <v>5</v>
      </c>
      <c r="B6" t="s">
        <v>9</v>
      </c>
      <c r="C6">
        <v>7.5087282679015101E-8</v>
      </c>
      <c r="D6" t="str">
        <f t="shared" si="0"/>
        <v>Reject H0</v>
      </c>
    </row>
    <row r="7" spans="1:4" x14ac:dyDescent="0.25">
      <c r="A7">
        <v>6</v>
      </c>
      <c r="B7" t="s">
        <v>10</v>
      </c>
      <c r="C7">
        <v>7.2826680781969438E-2</v>
      </c>
      <c r="D7" t="str">
        <f t="shared" si="0"/>
        <v>Fail to Reject H0</v>
      </c>
    </row>
    <row r="8" spans="1:4" x14ac:dyDescent="0.25">
      <c r="A8">
        <v>7</v>
      </c>
      <c r="B8" t="s">
        <v>11</v>
      </c>
      <c r="C8">
        <v>2.5712256272727866E-13</v>
      </c>
      <c r="D8" t="str">
        <f t="shared" si="0"/>
        <v>Reject H0</v>
      </c>
    </row>
    <row r="9" spans="1:4" x14ac:dyDescent="0.25">
      <c r="A9">
        <v>8</v>
      </c>
      <c r="B9" t="s">
        <v>12</v>
      </c>
      <c r="C9">
        <v>0.94972316492501774</v>
      </c>
      <c r="D9" t="str">
        <f t="shared" si="0"/>
        <v>Fail to Reject H0</v>
      </c>
    </row>
    <row r="10" spans="1:4" x14ac:dyDescent="0.25">
      <c r="A10">
        <v>9</v>
      </c>
      <c r="B10" t="s">
        <v>13</v>
      </c>
      <c r="C10">
        <v>2.5236027363450763E-3</v>
      </c>
      <c r="D10" t="str">
        <f t="shared" si="0"/>
        <v>Reject H0</v>
      </c>
    </row>
    <row r="11" spans="1:4" x14ac:dyDescent="0.25">
      <c r="A11">
        <v>10</v>
      </c>
      <c r="B11" t="s">
        <v>14</v>
      </c>
      <c r="C11">
        <v>3.5059767159485173E-12</v>
      </c>
      <c r="D11" t="str">
        <f t="shared" si="0"/>
        <v>Reject H0</v>
      </c>
    </row>
    <row r="12" spans="1:4" x14ac:dyDescent="0.25">
      <c r="A12">
        <v>11</v>
      </c>
      <c r="B12" t="s">
        <v>15</v>
      </c>
      <c r="C12">
        <v>0.16190129517704219</v>
      </c>
      <c r="D12" t="str">
        <f t="shared" si="0"/>
        <v>Fail to Reject H0</v>
      </c>
    </row>
    <row r="13" spans="1:4" x14ac:dyDescent="0.25">
      <c r="A13">
        <v>12</v>
      </c>
      <c r="B13" t="s">
        <v>16</v>
      </c>
      <c r="C13">
        <v>2.8430696563257171E-49</v>
      </c>
      <c r="D13" t="str">
        <f t="shared" si="0"/>
        <v>Reject H0</v>
      </c>
    </row>
    <row r="14" spans="1:4" x14ac:dyDescent="0.25">
      <c r="A14">
        <v>13</v>
      </c>
      <c r="B14" t="s">
        <v>17</v>
      </c>
      <c r="C14">
        <v>8.43198085836664E-18</v>
      </c>
      <c r="D14" t="str">
        <f t="shared" si="0"/>
        <v>Reject H0</v>
      </c>
    </row>
    <row r="15" spans="1:4" x14ac:dyDescent="0.25">
      <c r="A15">
        <v>14</v>
      </c>
      <c r="B15" t="s">
        <v>18</v>
      </c>
      <c r="C15">
        <v>0.60244631425283512</v>
      </c>
      <c r="D15" t="str">
        <f>IF(C15&lt;0.05, "Reject H0", "Fail to Reject H0")</f>
        <v>Fail to Reject H0</v>
      </c>
    </row>
    <row r="16" spans="1:4" x14ac:dyDescent="0.25">
      <c r="A16">
        <v>15</v>
      </c>
      <c r="B16" t="s">
        <v>19</v>
      </c>
      <c r="C16">
        <v>3.5002504641256771E-16</v>
      </c>
      <c r="D16" t="str">
        <f t="shared" si="0"/>
        <v>Reject H0</v>
      </c>
    </row>
    <row r="17" spans="1:4" x14ac:dyDescent="0.25">
      <c r="A17">
        <v>16</v>
      </c>
      <c r="B17" t="s">
        <v>20</v>
      </c>
      <c r="C17">
        <v>2.8290697668295742E-2</v>
      </c>
      <c r="D17" t="str">
        <f t="shared" si="0"/>
        <v>Reject H0</v>
      </c>
    </row>
    <row r="18" spans="1:4" x14ac:dyDescent="0.25">
      <c r="A18">
        <v>17</v>
      </c>
      <c r="B18" t="s">
        <v>21</v>
      </c>
      <c r="C18">
        <v>2.613980688998667E-33</v>
      </c>
      <c r="D18" t="str">
        <f t="shared" si="0"/>
        <v>Reject H0</v>
      </c>
    </row>
    <row r="19" spans="1:4" x14ac:dyDescent="0.25">
      <c r="A19">
        <v>18</v>
      </c>
      <c r="B19" t="s">
        <v>22</v>
      </c>
      <c r="C19">
        <v>0.78695650435972619</v>
      </c>
      <c r="D19" t="str">
        <f t="shared" si="0"/>
        <v>Fail to Reject H0</v>
      </c>
    </row>
    <row r="20" spans="1:4" x14ac:dyDescent="0.25">
      <c r="A20">
        <v>19</v>
      </c>
      <c r="B20" t="s">
        <v>23</v>
      </c>
      <c r="C20">
        <v>0.58499468428862644</v>
      </c>
      <c r="D20" t="str">
        <f t="shared" si="0"/>
        <v>Fail to Reject H0</v>
      </c>
    </row>
    <row r="21" spans="1:4" x14ac:dyDescent="0.25">
      <c r="A21">
        <v>20</v>
      </c>
      <c r="B21" t="s">
        <v>24</v>
      </c>
      <c r="C21">
        <v>3.3994774498050793E-2</v>
      </c>
      <c r="D21" t="str">
        <f t="shared" si="0"/>
        <v>Reject H0</v>
      </c>
    </row>
    <row r="22" spans="1:4" x14ac:dyDescent="0.25">
      <c r="A22">
        <v>21</v>
      </c>
      <c r="B22" t="s">
        <v>31</v>
      </c>
      <c r="C22">
        <v>4.7963474334787641E-4</v>
      </c>
      <c r="D22" t="str">
        <f t="shared" si="0"/>
        <v>Reject H0</v>
      </c>
    </row>
    <row r="23" spans="1:4" x14ac:dyDescent="0.25">
      <c r="A23">
        <v>22</v>
      </c>
      <c r="B23" t="s">
        <v>25</v>
      </c>
      <c r="C23" t="s">
        <v>26</v>
      </c>
      <c r="D23" t="s">
        <v>30</v>
      </c>
    </row>
    <row r="24" spans="1:4" x14ac:dyDescent="0.25">
      <c r="A24">
        <v>23</v>
      </c>
      <c r="B24" t="s">
        <v>27</v>
      </c>
      <c r="C24">
        <v>2.43306434981231E-5</v>
      </c>
      <c r="D24" t="str">
        <f>IF(C24&lt;0.05, "Reject H0", "Fail to Reject H0")</f>
        <v>Reject H0</v>
      </c>
    </row>
    <row r="25" spans="1:4" x14ac:dyDescent="0.25">
      <c r="A25">
        <v>24</v>
      </c>
      <c r="B25" t="s">
        <v>29</v>
      </c>
      <c r="C25">
        <v>6.6166596762499378E-24</v>
      </c>
      <c r="D25" t="str">
        <f>IF(C25&lt;0.05, "Reject H0", "Fail to Reject H0")</f>
        <v>Reject H0</v>
      </c>
    </row>
    <row r="26" spans="1:4" x14ac:dyDescent="0.25">
      <c r="A26">
        <v>25</v>
      </c>
      <c r="B26" t="s">
        <v>28</v>
      </c>
      <c r="C26" t="s">
        <v>26</v>
      </c>
      <c r="D26" t="s">
        <v>30</v>
      </c>
    </row>
    <row r="27" spans="1:4" x14ac:dyDescent="0.25">
      <c r="A27">
        <v>26</v>
      </c>
      <c r="B27" t="s">
        <v>32</v>
      </c>
      <c r="C27" t="s">
        <v>26</v>
      </c>
      <c r="D27" t="s">
        <v>30</v>
      </c>
    </row>
    <row r="28" spans="1:4" x14ac:dyDescent="0.25">
      <c r="A28">
        <v>27</v>
      </c>
      <c r="B28" t="s">
        <v>33</v>
      </c>
      <c r="C28" t="s">
        <v>26</v>
      </c>
      <c r="D28" t="s">
        <v>30</v>
      </c>
    </row>
    <row r="29" spans="1:4" x14ac:dyDescent="0.25">
      <c r="A29">
        <v>28</v>
      </c>
      <c r="B29" t="s">
        <v>34</v>
      </c>
      <c r="C29" t="s">
        <v>26</v>
      </c>
      <c r="D29" t="s">
        <v>30</v>
      </c>
    </row>
    <row r="30" spans="1:4" x14ac:dyDescent="0.25">
      <c r="A30">
        <v>29</v>
      </c>
      <c r="B30" t="s">
        <v>35</v>
      </c>
      <c r="C30">
        <v>3.6575963717351945E-2</v>
      </c>
      <c r="D30" t="str">
        <f t="shared" ref="D30" si="1">IF(C30&lt;0.05, "Reject H0", "Fail to Reject H0")</f>
        <v>Reject H0</v>
      </c>
    </row>
    <row r="31" spans="1:4" x14ac:dyDescent="0.25">
      <c r="A31">
        <v>30</v>
      </c>
      <c r="B31" t="s">
        <v>36</v>
      </c>
      <c r="C31" t="s">
        <v>26</v>
      </c>
      <c r="D31" t="s">
        <v>30</v>
      </c>
    </row>
    <row r="32" spans="1:4" x14ac:dyDescent="0.25">
      <c r="A32">
        <v>31</v>
      </c>
      <c r="B32" t="s">
        <v>37</v>
      </c>
      <c r="C32">
        <v>4.1325080332798979E-3</v>
      </c>
      <c r="D32" t="str">
        <f>IF(C32&lt;0.05, "Reject H0", "Fail to Reject H0")</f>
        <v>Reject H0</v>
      </c>
    </row>
    <row r="33" spans="1:4" x14ac:dyDescent="0.25">
      <c r="A33">
        <v>32</v>
      </c>
      <c r="B33" t="s">
        <v>38</v>
      </c>
      <c r="C33">
        <v>1.4256675102933639E-2</v>
      </c>
      <c r="D33" t="str">
        <f t="shared" ref="D33:D67" si="2">IF(C33&lt;0.05, "Reject H0", "Fail to Reject H0")</f>
        <v>Reject H0</v>
      </c>
    </row>
    <row r="34" spans="1:4" x14ac:dyDescent="0.25">
      <c r="A34">
        <v>33</v>
      </c>
      <c r="B34" t="s">
        <v>39</v>
      </c>
      <c r="C34">
        <v>1.3934700027916093E-12</v>
      </c>
      <c r="D34" t="str">
        <f t="shared" si="2"/>
        <v>Reject H0</v>
      </c>
    </row>
    <row r="35" spans="1:4" x14ac:dyDescent="0.25">
      <c r="A35">
        <v>34</v>
      </c>
      <c r="B35" t="s">
        <v>40</v>
      </c>
      <c r="C35">
        <v>1.1657335085525375E-12</v>
      </c>
      <c r="D35" t="str">
        <f t="shared" si="2"/>
        <v>Reject H0</v>
      </c>
    </row>
    <row r="36" spans="1:4" x14ac:dyDescent="0.25">
      <c r="A36">
        <v>35</v>
      </c>
      <c r="B36" t="s">
        <v>41</v>
      </c>
      <c r="C36">
        <v>1.5699996576882012E-2</v>
      </c>
      <c r="D36" t="str">
        <f t="shared" si="2"/>
        <v>Reject H0</v>
      </c>
    </row>
    <row r="37" spans="1:4" x14ac:dyDescent="0.25">
      <c r="A37">
        <v>36</v>
      </c>
      <c r="B37" t="s">
        <v>42</v>
      </c>
      <c r="C37">
        <v>3.5274242298306981E-2</v>
      </c>
      <c r="D37" t="str">
        <f t="shared" si="2"/>
        <v>Reject H0</v>
      </c>
    </row>
    <row r="38" spans="1:4" x14ac:dyDescent="0.25">
      <c r="A38">
        <v>37</v>
      </c>
      <c r="B38" t="s">
        <v>43</v>
      </c>
      <c r="C38">
        <v>1.3576475629078188E-33</v>
      </c>
      <c r="D38" t="str">
        <f t="shared" si="2"/>
        <v>Reject H0</v>
      </c>
    </row>
    <row r="39" spans="1:4" x14ac:dyDescent="0.25">
      <c r="A39">
        <v>38</v>
      </c>
      <c r="B39" t="s">
        <v>44</v>
      </c>
      <c r="C39">
        <v>3.9034272847803587E-3</v>
      </c>
      <c r="D39" t="str">
        <f t="shared" si="2"/>
        <v>Reject H0</v>
      </c>
    </row>
    <row r="40" spans="1:4" x14ac:dyDescent="0.25">
      <c r="A40">
        <v>39</v>
      </c>
      <c r="B40" t="s">
        <v>45</v>
      </c>
      <c r="C40">
        <v>0.86985321174736085</v>
      </c>
      <c r="D40" t="str">
        <f t="shared" si="2"/>
        <v>Fail to Reject H0</v>
      </c>
    </row>
    <row r="41" spans="1:4" x14ac:dyDescent="0.25">
      <c r="A41">
        <v>40</v>
      </c>
      <c r="B41" t="s">
        <v>46</v>
      </c>
      <c r="C41">
        <v>5.3879367041520125E-2</v>
      </c>
      <c r="D41" t="str">
        <f t="shared" si="2"/>
        <v>Fail to Reject H0</v>
      </c>
    </row>
    <row r="42" spans="1:4" x14ac:dyDescent="0.25">
      <c r="A42">
        <v>41</v>
      </c>
      <c r="B42" t="s">
        <v>47</v>
      </c>
      <c r="C42">
        <v>5.3010097141439711E-6</v>
      </c>
      <c r="D42" t="str">
        <f t="shared" si="2"/>
        <v>Reject H0</v>
      </c>
    </row>
    <row r="43" spans="1:4" x14ac:dyDescent="0.25">
      <c r="A43">
        <v>42</v>
      </c>
      <c r="B43" t="s">
        <v>48</v>
      </c>
      <c r="C43">
        <v>1.0921520850436803E-3</v>
      </c>
      <c r="D43" t="str">
        <f t="shared" si="2"/>
        <v>Reject H0</v>
      </c>
    </row>
    <row r="44" spans="1:4" x14ac:dyDescent="0.25">
      <c r="A44">
        <v>43</v>
      </c>
      <c r="B44" t="s">
        <v>49</v>
      </c>
      <c r="C44">
        <v>1.1865476725667031E-38</v>
      </c>
      <c r="D44" t="str">
        <f t="shared" si="2"/>
        <v>Reject H0</v>
      </c>
    </row>
    <row r="45" spans="1:4" x14ac:dyDescent="0.25">
      <c r="A45">
        <v>44</v>
      </c>
      <c r="B45" t="s">
        <v>50</v>
      </c>
      <c r="C45">
        <v>1.1982686462910387E-16</v>
      </c>
      <c r="D45" t="str">
        <f t="shared" si="2"/>
        <v>Reject H0</v>
      </c>
    </row>
    <row r="46" spans="1:4" x14ac:dyDescent="0.25">
      <c r="A46">
        <v>45</v>
      </c>
      <c r="B46" t="s">
        <v>51</v>
      </c>
      <c r="C46">
        <v>5.7189967603932599E-26</v>
      </c>
      <c r="D46" t="str">
        <f t="shared" si="2"/>
        <v>Reject H0</v>
      </c>
    </row>
    <row r="47" spans="1:4" x14ac:dyDescent="0.25">
      <c r="A47">
        <v>46</v>
      </c>
      <c r="B47" t="s">
        <v>52</v>
      </c>
      <c r="C47">
        <v>0.42789237166497418</v>
      </c>
      <c r="D47" t="str">
        <f t="shared" si="2"/>
        <v>Fail to Reject H0</v>
      </c>
    </row>
    <row r="48" spans="1:4" x14ac:dyDescent="0.25">
      <c r="A48">
        <v>47</v>
      </c>
      <c r="B48" t="s">
        <v>53</v>
      </c>
      <c r="C48">
        <v>0.71858055847807267</v>
      </c>
      <c r="D48" t="str">
        <f t="shared" si="2"/>
        <v>Fail to Reject H0</v>
      </c>
    </row>
    <row r="49" spans="1:4" x14ac:dyDescent="0.25">
      <c r="A49">
        <v>48</v>
      </c>
      <c r="B49" t="s">
        <v>54</v>
      </c>
      <c r="C49">
        <v>7.3619452921833828E-6</v>
      </c>
      <c r="D49" t="str">
        <f t="shared" si="2"/>
        <v>Reject H0</v>
      </c>
    </row>
    <row r="50" spans="1:4" x14ac:dyDescent="0.25">
      <c r="A50">
        <v>49</v>
      </c>
      <c r="B50" t="s">
        <v>55</v>
      </c>
      <c r="C50">
        <v>0.14994945977990518</v>
      </c>
      <c r="D50" t="str">
        <f t="shared" si="2"/>
        <v>Fail to Reject H0</v>
      </c>
    </row>
    <row r="51" spans="1:4" x14ac:dyDescent="0.25">
      <c r="A51">
        <v>50</v>
      </c>
      <c r="B51" t="s">
        <v>56</v>
      </c>
      <c r="C51">
        <v>0.17324079329032999</v>
      </c>
      <c r="D51" t="str">
        <f t="shared" si="2"/>
        <v>Fail to Reject H0</v>
      </c>
    </row>
    <row r="52" spans="1:4" x14ac:dyDescent="0.25">
      <c r="A52">
        <v>51</v>
      </c>
      <c r="B52" t="s">
        <v>57</v>
      </c>
      <c r="C52">
        <v>3.6766417940973008E-9</v>
      </c>
      <c r="D52" t="str">
        <f t="shared" si="2"/>
        <v>Reject H0</v>
      </c>
    </row>
    <row r="53" spans="1:4" x14ac:dyDescent="0.25">
      <c r="A53">
        <v>52</v>
      </c>
      <c r="B53" t="s">
        <v>58</v>
      </c>
      <c r="C53">
        <v>4.0638980569020055E-3</v>
      </c>
      <c r="D53" t="str">
        <f t="shared" si="2"/>
        <v>Reject H0</v>
      </c>
    </row>
    <row r="54" spans="1:4" x14ac:dyDescent="0.25">
      <c r="A54">
        <v>53</v>
      </c>
      <c r="B54" t="s">
        <v>59</v>
      </c>
      <c r="C54">
        <v>1.0682682906418599E-8</v>
      </c>
      <c r="D54" t="str">
        <f t="shared" si="2"/>
        <v>Reject H0</v>
      </c>
    </row>
    <row r="55" spans="1:4" x14ac:dyDescent="0.25">
      <c r="A55">
        <v>54</v>
      </c>
      <c r="B55" t="s">
        <v>62</v>
      </c>
      <c r="C55">
        <v>0.21597913536463256</v>
      </c>
      <c r="D55" t="str">
        <f t="shared" si="2"/>
        <v>Fail to Reject H0</v>
      </c>
    </row>
    <row r="56" spans="1:4" x14ac:dyDescent="0.25">
      <c r="A56">
        <v>55</v>
      </c>
      <c r="B56" t="s">
        <v>60</v>
      </c>
      <c r="C56">
        <v>4.3416418871698172E-12</v>
      </c>
      <c r="D56" t="str">
        <f>IF(C57&lt;0.05, "Reject H0", "Fail to Reject H0")</f>
        <v>Reject H0</v>
      </c>
    </row>
    <row r="57" spans="1:4" x14ac:dyDescent="0.25">
      <c r="A57">
        <v>56</v>
      </c>
      <c r="B57" t="s">
        <v>61</v>
      </c>
      <c r="C57">
        <v>5.3087712643655061E-5</v>
      </c>
      <c r="D57" t="str">
        <f>IF(C58&lt;0.05, "Reject H0", "Fail to Reject H0")</f>
        <v>Reject H0</v>
      </c>
    </row>
    <row r="58" spans="1:4" x14ac:dyDescent="0.25">
      <c r="A58">
        <v>57</v>
      </c>
      <c r="B58" t="s">
        <v>63</v>
      </c>
      <c r="C58">
        <v>3.5349700511038154E-13</v>
      </c>
      <c r="D58" t="str">
        <f t="shared" si="2"/>
        <v>Reject H0</v>
      </c>
    </row>
    <row r="59" spans="1:4" x14ac:dyDescent="0.25">
      <c r="A59">
        <v>58</v>
      </c>
      <c r="B59" t="s">
        <v>64</v>
      </c>
      <c r="C59">
        <v>2.4088645931348538E-15</v>
      </c>
      <c r="D59" t="str">
        <f t="shared" si="2"/>
        <v>Reject H0</v>
      </c>
    </row>
    <row r="60" spans="1:4" x14ac:dyDescent="0.25">
      <c r="A60">
        <v>59</v>
      </c>
      <c r="B60" t="s">
        <v>65</v>
      </c>
      <c r="C60">
        <v>2.1935489279357897E-19</v>
      </c>
      <c r="D60" t="str">
        <f t="shared" si="2"/>
        <v>Reject H0</v>
      </c>
    </row>
    <row r="61" spans="1:4" x14ac:dyDescent="0.25">
      <c r="A61">
        <v>60</v>
      </c>
      <c r="B61" t="s">
        <v>66</v>
      </c>
      <c r="C61">
        <v>2.1680973442528397E-45</v>
      </c>
      <c r="D61" t="str">
        <f t="shared" si="2"/>
        <v>Reject H0</v>
      </c>
    </row>
    <row r="62" spans="1:4" x14ac:dyDescent="0.25">
      <c r="A62">
        <v>61</v>
      </c>
      <c r="B62" t="s">
        <v>67</v>
      </c>
      <c r="C62">
        <v>1.4293914115636776E-3</v>
      </c>
      <c r="D62" t="str">
        <f t="shared" si="2"/>
        <v>Reject H0</v>
      </c>
    </row>
    <row r="63" spans="1:4" x14ac:dyDescent="0.25">
      <c r="A63">
        <v>62</v>
      </c>
      <c r="B63" t="s">
        <v>68</v>
      </c>
      <c r="C63">
        <v>1.754099535959744E-12</v>
      </c>
      <c r="D63" t="str">
        <f t="shared" si="2"/>
        <v>Reject H0</v>
      </c>
    </row>
    <row r="64" spans="1:4" x14ac:dyDescent="0.25">
      <c r="A64">
        <v>63</v>
      </c>
      <c r="B64" t="s">
        <v>69</v>
      </c>
      <c r="C64">
        <v>0.70841332687019798</v>
      </c>
      <c r="D64" t="str">
        <f t="shared" si="2"/>
        <v>Fail to Reject H0</v>
      </c>
    </row>
    <row r="65" spans="1:4" x14ac:dyDescent="0.25">
      <c r="A65">
        <v>64</v>
      </c>
      <c r="B65" t="s">
        <v>70</v>
      </c>
      <c r="C65">
        <v>1.942213152130699E-14</v>
      </c>
      <c r="D65" t="str">
        <f t="shared" si="2"/>
        <v>Reject H0</v>
      </c>
    </row>
    <row r="66" spans="1:4" x14ac:dyDescent="0.25">
      <c r="A66">
        <v>65</v>
      </c>
      <c r="B66" t="s">
        <v>71</v>
      </c>
      <c r="C66">
        <v>0.13025711354853386</v>
      </c>
      <c r="D66" t="str">
        <f t="shared" si="2"/>
        <v>Fail to Reject H0</v>
      </c>
    </row>
    <row r="67" spans="1:4" x14ac:dyDescent="0.25">
      <c r="A67">
        <v>66</v>
      </c>
      <c r="B67" t="s">
        <v>72</v>
      </c>
      <c r="C67">
        <v>5.1335514044984439E-16</v>
      </c>
      <c r="D67" t="str">
        <f t="shared" si="2"/>
        <v>Reject H0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9530-4F4C-4CAE-A314-E81C96294D8B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Numbers of Hypothesis</vt:lpstr>
      <vt:lpstr>Hypothesis in 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2025-12-30T18:24:21Z</dcterms:modified>
</cp:coreProperties>
</file>